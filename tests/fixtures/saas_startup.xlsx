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  <sheet name="Balance Sheet" sheetId="2" state="visible" r:id="rId2"/>
    <sheet name="SaaS Metrics" sheetId="3" state="visible" r:id="rId3"/>
    <sheet name="Headcount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88888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AcmeSoft Inc - P&amp;L</t>
        </is>
      </c>
    </row>
    <row r="2">
      <c r="A2" s="2" t="inlineStr">
        <is>
          <t>(in thousands)</t>
        </is>
      </c>
    </row>
    <row r="3">
      <c r="A3" t="inlineStr"/>
      <c r="B3" t="inlineStr"/>
      <c r="C3" s="3" t="inlineStr">
        <is>
          <t>FY2023</t>
        </is>
      </c>
      <c r="D3" s="3" t="inlineStr">
        <is>
          <t>FY2024</t>
        </is>
      </c>
      <c r="E3" s="3" t="inlineStr">
        <is>
          <t>FY2025E</t>
        </is>
      </c>
    </row>
    <row r="4">
      <c r="A4" s="3" t="inlineStr">
        <is>
          <t>Rev</t>
        </is>
      </c>
      <c r="C4" s="4" t="n">
        <v>4200</v>
      </c>
      <c r="D4" s="4" t="n">
        <v>5880</v>
      </c>
      <c r="E4" s="4" t="n">
        <v>7644</v>
      </c>
    </row>
    <row r="5">
      <c r="A5" t="inlineStr">
        <is>
          <t xml:space="preserve">  Subscription Revenue</t>
        </is>
      </c>
      <c r="C5" s="4" t="n">
        <v>3570</v>
      </c>
      <c r="D5" s="4" t="n">
        <v>5058</v>
      </c>
      <c r="E5" s="4" t="n">
        <v>6879</v>
      </c>
    </row>
    <row r="6">
      <c r="A6" t="inlineStr">
        <is>
          <t xml:space="preserve">  Services Revenue</t>
        </is>
      </c>
      <c r="C6" s="4" t="n">
        <v>630</v>
      </c>
      <c r="D6" s="4" t="n">
        <v>822</v>
      </c>
      <c r="E6" s="4" t="n">
        <v>765</v>
      </c>
    </row>
    <row r="8">
      <c r="A8" t="inlineStr">
        <is>
          <t>COGS</t>
        </is>
      </c>
      <c r="C8" s="4" t="n">
        <v>-1260</v>
      </c>
      <c r="D8" s="4" t="n">
        <v>-1646</v>
      </c>
      <c r="E8" s="4" t="n">
        <v>-1911</v>
      </c>
    </row>
    <row r="9">
      <c r="A9" s="3" t="inlineStr">
        <is>
          <t>GP</t>
        </is>
      </c>
      <c r="C9" s="4">
        <f>C4+C8</f>
        <v/>
      </c>
      <c r="D9" s="4">
        <f>D4+D8</f>
        <v/>
      </c>
      <c r="E9" s="4">
        <f>E4+E8</f>
        <v/>
      </c>
    </row>
    <row r="11">
      <c r="A11" s="3" t="inlineStr">
        <is>
          <t>Operating Expenses</t>
        </is>
      </c>
    </row>
    <row r="12">
      <c r="A12" t="inlineStr">
        <is>
          <t xml:space="preserve">  S&amp;M</t>
        </is>
      </c>
      <c r="C12" s="4" t="n">
        <v>-1680</v>
      </c>
      <c r="D12" s="4" t="n">
        <v>-2117</v>
      </c>
      <c r="E12" s="4" t="n">
        <v>-2446</v>
      </c>
    </row>
    <row r="13">
      <c r="A13" t="inlineStr">
        <is>
          <t xml:space="preserve">  R&amp;D</t>
        </is>
      </c>
      <c r="C13" s="4" t="n">
        <v>-1050</v>
      </c>
      <c r="D13" s="4" t="n">
        <v>-1411</v>
      </c>
      <c r="E13" s="4" t="n">
        <v>-1681</v>
      </c>
    </row>
    <row r="14">
      <c r="A14" t="inlineStr">
        <is>
          <t xml:space="preserve">  G&amp;A</t>
        </is>
      </c>
      <c r="C14" s="4" t="n">
        <v>-420</v>
      </c>
      <c r="D14" s="4" t="n">
        <v>-529</v>
      </c>
      <c r="E14" s="4" t="n">
        <v>-612</v>
      </c>
    </row>
    <row r="15">
      <c r="A15" s="3" t="inlineStr">
        <is>
          <t>Total Opex</t>
        </is>
      </c>
      <c r="C15" s="4" t="n">
        <v>-3150</v>
      </c>
      <c r="D15" s="4" t="n">
        <v>-4057</v>
      </c>
      <c r="E15" s="4" t="n">
        <v>-4739</v>
      </c>
    </row>
    <row r="17">
      <c r="A17" s="3" t="inlineStr">
        <is>
          <t>EBITDA</t>
        </is>
      </c>
      <c r="C17" s="4" t="n">
        <v>-210</v>
      </c>
      <c r="D17" s="4" t="n">
        <v>177</v>
      </c>
      <c r="E17" s="4" t="n">
        <v>994</v>
      </c>
    </row>
    <row r="18">
      <c r="A18" t="inlineStr">
        <is>
          <t>D&amp;A</t>
        </is>
      </c>
      <c r="C18" s="4" t="n">
        <v>-168</v>
      </c>
      <c r="D18" s="4" t="n">
        <v>-235</v>
      </c>
      <c r="E18" s="4" t="n">
        <v>-306</v>
      </c>
    </row>
    <row r="19">
      <c r="A19" s="3" t="inlineStr">
        <is>
          <t>EBIT</t>
        </is>
      </c>
      <c r="C19" s="4" t="n">
        <v>-378</v>
      </c>
      <c r="D19" s="4" t="n">
        <v>-58</v>
      </c>
      <c r="E19" s="4" t="n">
        <v>688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Balance Sheet</t>
        </is>
      </c>
    </row>
    <row r="2">
      <c r="A2" t="inlineStr"/>
      <c r="B2" s="3" t="inlineStr">
        <is>
          <t>FY2023</t>
        </is>
      </c>
      <c r="C2" s="3" t="inlineStr">
        <is>
          <t>FY2024</t>
        </is>
      </c>
      <c r="D2" s="3" t="inlineStr">
        <is>
          <t>FY2025E</t>
        </is>
      </c>
    </row>
    <row r="3">
      <c r="A3" s="3" t="inlineStr">
        <is>
          <t>Cash &amp; Equivalents</t>
        </is>
      </c>
      <c r="B3" s="4" t="n">
        <v>8500</v>
      </c>
      <c r="C3" s="4" t="n">
        <v>6200</v>
      </c>
      <c r="D3" s="4" t="n">
        <v>5800</v>
      </c>
    </row>
    <row r="4">
      <c r="A4" t="inlineStr">
        <is>
          <t>Accounts Receivable</t>
        </is>
      </c>
      <c r="B4" s="4" t="n">
        <v>1050</v>
      </c>
      <c r="C4" s="4" t="n">
        <v>1470</v>
      </c>
      <c r="D4" s="4" t="n">
        <v>1911</v>
      </c>
    </row>
    <row r="5">
      <c r="A5" t="inlineStr">
        <is>
          <t>Prepaid Expenses</t>
        </is>
      </c>
      <c r="B5" s="4" t="n">
        <v>210</v>
      </c>
      <c r="C5" s="4" t="n">
        <v>294</v>
      </c>
      <c r="D5" s="4" t="n">
        <v>382</v>
      </c>
    </row>
    <row r="6">
      <c r="A6" s="3" t="inlineStr">
        <is>
          <t>Total Current Assets</t>
        </is>
      </c>
      <c r="B6" s="4" t="n">
        <v>9760</v>
      </c>
      <c r="C6" s="4" t="n">
        <v>7964</v>
      </c>
      <c r="D6" s="4" t="n">
        <v>8093</v>
      </c>
    </row>
    <row r="8">
      <c r="A8" t="inlineStr">
        <is>
          <t>PP&amp;E, Net</t>
        </is>
      </c>
      <c r="B8" s="4" t="n">
        <v>840</v>
      </c>
      <c r="C8" s="4" t="n">
        <v>1176</v>
      </c>
      <c r="D8" s="4" t="n">
        <v>1529</v>
      </c>
    </row>
    <row r="9">
      <c r="A9" s="3" t="inlineStr">
        <is>
          <t>Total Assets</t>
        </is>
      </c>
      <c r="B9" s="4" t="n">
        <v>10600</v>
      </c>
      <c r="C9" s="4" t="n">
        <v>9140</v>
      </c>
      <c r="D9" s="4" t="n">
        <v>9622</v>
      </c>
    </row>
    <row r="11">
      <c r="A11" t="inlineStr">
        <is>
          <t>Accounts Payable</t>
        </is>
      </c>
      <c r="B11" s="4" t="n">
        <v>315</v>
      </c>
      <c r="C11" s="4" t="n">
        <v>412</v>
      </c>
      <c r="D11" s="4" t="n">
        <v>478</v>
      </c>
    </row>
    <row r="12">
      <c r="A12" t="inlineStr">
        <is>
          <t>Deferred Revenue</t>
        </is>
      </c>
      <c r="B12" s="4" t="n">
        <v>700</v>
      </c>
      <c r="C12" s="4" t="n">
        <v>980</v>
      </c>
      <c r="D12" s="4" t="n">
        <v>1274</v>
      </c>
    </row>
    <row r="13">
      <c r="A13" s="3" t="inlineStr">
        <is>
          <t>Total Current Liabilities</t>
        </is>
      </c>
      <c r="B13" s="4" t="n">
        <v>1015</v>
      </c>
      <c r="C13" s="4" t="n">
        <v>1392</v>
      </c>
      <c r="D13" s="4" t="n">
        <v>1752</v>
      </c>
    </row>
    <row r="14">
      <c r="A14" t="inlineStr">
        <is>
          <t>Convertible Notes</t>
        </is>
      </c>
      <c r="B14" s="4" t="n">
        <v>3000</v>
      </c>
      <c r="C14" s="4" t="n">
        <v>3000</v>
      </c>
      <c r="D14" s="4" t="n">
        <v>0</v>
      </c>
    </row>
    <row r="15">
      <c r="A15" s="3" t="inlineStr">
        <is>
          <t>Total Liabilities</t>
        </is>
      </c>
      <c r="B15" s="4" t="n">
        <v>4015</v>
      </c>
      <c r="C15" s="4" t="n">
        <v>4392</v>
      </c>
      <c r="D15" s="4" t="n">
        <v>1752</v>
      </c>
    </row>
    <row r="17">
      <c r="A17" s="3" t="inlineStr">
        <is>
          <t>Total Equity</t>
        </is>
      </c>
      <c r="B17" s="4" t="n">
        <v>6585</v>
      </c>
      <c r="C17" s="4" t="n">
        <v>4748</v>
      </c>
      <c r="D17" s="4" t="n">
        <v>7870</v>
      </c>
    </row>
    <row r="18">
      <c r="A18" s="3" t="inlineStr">
        <is>
          <t>Total Liabilities &amp; Equity</t>
        </is>
      </c>
      <c r="B18" s="4" t="n">
        <v>10600</v>
      </c>
      <c r="C18" s="4" t="n">
        <v>9140</v>
      </c>
      <c r="D18" s="4" t="n">
        <v>9622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 Performance Metrics</t>
        </is>
      </c>
    </row>
    <row r="2">
      <c r="A2" t="inlineStr"/>
      <c r="B2" s="3" t="inlineStr">
        <is>
          <t>FY2023</t>
        </is>
      </c>
      <c r="C2" s="3" t="inlineStr">
        <is>
          <t>FY2024</t>
        </is>
      </c>
      <c r="D2" s="3" t="inlineStr">
        <is>
          <t>FY2025E</t>
        </is>
      </c>
    </row>
    <row r="3">
      <c r="A3" t="inlineStr">
        <is>
          <t>ARR ($000)</t>
        </is>
      </c>
      <c r="B3" s="4" t="n">
        <v>4284</v>
      </c>
      <c r="C3" s="4" t="n">
        <v>6070</v>
      </c>
      <c r="D3" s="4" t="n">
        <v>8255</v>
      </c>
    </row>
    <row r="4">
      <c r="A4" t="inlineStr">
        <is>
          <t>MRR</t>
        </is>
      </c>
      <c r="B4" s="4" t="n">
        <v>357</v>
      </c>
      <c r="C4" s="4" t="n">
        <v>506</v>
      </c>
      <c r="D4" s="4" t="n">
        <v>688</v>
      </c>
    </row>
    <row r="5">
      <c r="A5" t="inlineStr">
        <is>
          <t>NRR</t>
        </is>
      </c>
      <c r="B5" s="6" t="n">
        <v>1.12</v>
      </c>
      <c r="C5" s="6" t="n">
        <v>1.15</v>
      </c>
      <c r="D5" s="6" t="n">
        <v>1.18</v>
      </c>
    </row>
    <row r="6">
      <c r="A6" t="inlineStr">
        <is>
          <t>Logo Churn</t>
        </is>
      </c>
      <c r="B6" s="6" t="n">
        <v>0.08</v>
      </c>
      <c r="C6" s="6" t="n">
        <v>0.065</v>
      </c>
      <c r="D6" s="6" t="n">
        <v>0.05</v>
      </c>
    </row>
    <row r="7">
      <c r="A7" t="inlineStr">
        <is>
          <t>CAC</t>
        </is>
      </c>
      <c r="B7" s="4" t="n">
        <v>850</v>
      </c>
      <c r="C7" s="4" t="n">
        <v>780</v>
      </c>
      <c r="D7" s="4" t="n">
        <v>720</v>
      </c>
    </row>
    <row r="8">
      <c r="A8" t="inlineStr">
        <is>
          <t>LTV</t>
        </is>
      </c>
      <c r="B8" s="4" t="n">
        <v>3400</v>
      </c>
      <c r="C8" s="4" t="n">
        <v>4100</v>
      </c>
      <c r="D8" s="4" t="n">
        <v>5040</v>
      </c>
    </row>
    <row r="9">
      <c r="A9" t="inlineStr">
        <is>
          <t>LTV/CAC</t>
        </is>
      </c>
      <c r="B9" s="7" t="n">
        <v>4</v>
      </c>
      <c r="C9" s="7" t="n">
        <v>5.3</v>
      </c>
      <c r="D9" s="7" t="n">
        <v>7</v>
      </c>
    </row>
    <row r="10">
      <c r="A10" t="inlineStr">
        <is>
          <t>Burn Rate</t>
        </is>
      </c>
      <c r="B10" s="4" t="n">
        <v>210</v>
      </c>
      <c r="C10" s="4" t="n">
        <v>0</v>
      </c>
      <c r="D10" s="4" t="n">
        <v>0</v>
      </c>
    </row>
    <row r="11">
      <c r="A11" t="inlineStr">
        <is>
          <t>Runway (months)</t>
        </is>
      </c>
      <c r="B11" s="4" t="n">
        <v>41</v>
      </c>
      <c r="C11" s="4" t="n">
        <v>0</v>
      </c>
      <c r="D11" s="4" t="n">
        <v>0</v>
      </c>
    </row>
    <row r="12">
      <c r="A12" t="inlineStr">
        <is>
          <t>Customers</t>
        </is>
      </c>
      <c r="B12" s="4" t="n">
        <v>420</v>
      </c>
      <c r="C12" s="4" t="n">
        <v>580</v>
      </c>
      <c r="D12" s="4" t="n">
        <v>750</v>
      </c>
    </row>
    <row r="13">
      <c r="A13" t="inlineStr">
        <is>
          <t>New Customers</t>
        </is>
      </c>
      <c r="B13" s="4" t="n">
        <v>180</v>
      </c>
      <c r="C13" s="4" t="n">
        <v>220</v>
      </c>
      <c r="D13" s="4" t="n">
        <v>250</v>
      </c>
    </row>
    <row r="15">
      <c r="A15" t="inlineStr">
        <is>
          <t>Note: NRR based on dollar retention</t>
        </is>
      </c>
    </row>
    <row r="16">
      <c r="A16">
        <f>==</f>
        <v/>
      </c>
    </row>
    <row r="17">
      <c r="A17" t="inlineStr">
        <is>
          <t>Source: Internal metrics dashboard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Team Size</t>
        </is>
      </c>
    </row>
    <row r="2">
      <c r="A2" t="inlineStr"/>
      <c r="B2" s="3" t="inlineStr">
        <is>
          <t>FY2023</t>
        </is>
      </c>
      <c r="C2" s="3" t="inlineStr">
        <is>
          <t>FY2024</t>
        </is>
      </c>
      <c r="D2" s="3" t="inlineStr">
        <is>
          <t>FY2025E</t>
        </is>
      </c>
    </row>
    <row r="3">
      <c r="A3" t="inlineStr">
        <is>
          <t>Engineering</t>
        </is>
      </c>
      <c r="B3" s="4" t="n">
        <v>35</v>
      </c>
      <c r="C3" s="4" t="n">
        <v>48</v>
      </c>
      <c r="D3" s="4" t="n">
        <v>60</v>
      </c>
    </row>
    <row r="4">
      <c r="A4" t="inlineStr">
        <is>
          <t>Sales</t>
        </is>
      </c>
      <c r="B4" s="4" t="n">
        <v>22</v>
      </c>
      <c r="C4" s="4" t="n">
        <v>30</v>
      </c>
      <c r="D4" s="4" t="n">
        <v>38</v>
      </c>
    </row>
    <row r="5">
      <c r="A5" t="inlineStr">
        <is>
          <t>G&amp;A</t>
        </is>
      </c>
      <c r="B5" s="4" t="n">
        <v>12</v>
      </c>
      <c r="C5" s="4" t="n">
        <v>15</v>
      </c>
      <c r="D5" s="4" t="n">
        <v>18</v>
      </c>
    </row>
    <row r="6">
      <c r="A6" s="3" t="inlineStr">
        <is>
          <t>Total HC</t>
        </is>
      </c>
      <c r="B6" s="4" t="n">
        <v>69</v>
      </c>
      <c r="C6" s="4" t="n">
        <v>93</v>
      </c>
      <c r="D6" s="4" t="n">
        <v>116</v>
      </c>
    </row>
    <row r="7">
      <c r="A7" t="inlineStr">
        <is>
          <t>Rev per Employee</t>
        </is>
      </c>
      <c r="B7" s="7" t="n">
        <v>60.9</v>
      </c>
      <c r="C7" s="7" t="n">
        <v>63.2</v>
      </c>
      <c r="D7" s="7" t="n">
        <v>65.90000000000001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TODO: Update revenue model for Q3</t>
        </is>
      </c>
    </row>
    <row r="2">
      <c r="A2" t="inlineStr">
        <is>
          <t>TODO: Validate CAC assumptions</t>
        </is>
      </c>
    </row>
    <row r="3">
      <c r="A3" t="inlineStr">
        <is>
          <t>v2.3 - Updated March 2025</t>
        </is>
      </c>
    </row>
    <row r="4">
      <c r="A4" t="inlineStr">
        <is>
          <t>Draft - do not distribute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2026-03-12T08:09:10Z</dcterms:created>
  <dcterms:modified xsi:type="dcterms:W3CDTF">2026-03-12T08:09:10Z</dcterms:modified>
</cp:coreProperties>
</file>