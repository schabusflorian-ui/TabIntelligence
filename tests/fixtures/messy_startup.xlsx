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aS Model" sheetId="1" state="visible" r:id="rId1"/>
    <sheet name="Combined FS" sheetId="2" state="visible" r:id="rId2"/>
    <sheet name="Metrics &amp; Note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88888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Acme SaaS Inc.</t>
        </is>
      </c>
    </row>
    <row r="2">
      <c r="B2" s="2" t="inlineStr">
        <is>
          <t>(in thousands)</t>
        </is>
      </c>
    </row>
    <row r="3">
      <c r="A3" t="inlineStr">
        <is>
          <t>#</t>
        </is>
      </c>
      <c r="B3" t="inlineStr"/>
      <c r="C3" s="3" t="inlineStr">
        <is>
          <t>FY2022</t>
        </is>
      </c>
      <c r="D3" s="3" t="inlineStr">
        <is>
          <t>FY2023</t>
        </is>
      </c>
      <c r="E3" s="3" t="inlineStr">
        <is>
          <t>FY2024E</t>
        </is>
      </c>
      <c r="F3" s="3" t="inlineStr">
        <is>
          <t>FY2025E</t>
        </is>
      </c>
    </row>
    <row r="4">
      <c r="A4" t="n">
        <v>1</v>
      </c>
      <c r="B4" s="3" t="inlineStr">
        <is>
          <t>Revenue</t>
        </is>
      </c>
      <c r="C4" s="4" t="n">
        <v>1200</v>
      </c>
      <c r="D4" s="4" t="n">
        <v>1800</v>
      </c>
      <c r="E4" s="4" t="n">
        <v>2500</v>
      </c>
      <c r="F4" s="4" t="n">
        <v>3200</v>
      </c>
    </row>
    <row r="5">
      <c r="A5" t="n">
        <v>2</v>
      </c>
      <c r="B5" t="inlineStr">
        <is>
          <t>Growth Rate</t>
        </is>
      </c>
      <c r="D5" s="5" t="n">
        <v>0.5</v>
      </c>
      <c r="E5" s="5" t="n">
        <v>0.389</v>
      </c>
      <c r="F5" s="5" t="n">
        <v>0.28</v>
      </c>
    </row>
    <row r="6">
      <c r="A6" t="n">
        <v>3</v>
      </c>
      <c r="B6" t="inlineStr">
        <is>
          <t>COGS</t>
        </is>
      </c>
      <c r="C6" s="4" t="n">
        <v>-360</v>
      </c>
      <c r="D6" s="4" t="n">
        <v>-504</v>
      </c>
      <c r="E6" s="4" t="n">
        <v>-625</v>
      </c>
      <c r="F6" s="4" t="n">
        <v>-768</v>
      </c>
    </row>
    <row r="7">
      <c r="A7" t="n">
        <v>4</v>
      </c>
      <c r="B7" s="3" t="inlineStr">
        <is>
          <t>Gross Profit</t>
        </is>
      </c>
      <c r="C7" s="4">
        <f>C4+C6</f>
        <v/>
      </c>
      <c r="D7" s="4" t="n">
        <v>1296</v>
      </c>
      <c r="E7" s="4" t="n">
        <v>1875</v>
      </c>
      <c r="F7" s="4" t="n">
        <v>2432</v>
      </c>
    </row>
    <row r="9">
      <c r="A9" t="n">
        <v>5</v>
      </c>
      <c r="B9" t="inlineStr">
        <is>
          <t>Sales &amp; Marketing</t>
        </is>
      </c>
      <c r="C9" s="4" t="n">
        <v>-480</v>
      </c>
      <c r="D9" s="4" t="n">
        <v>-630</v>
      </c>
      <c r="E9" s="4" t="n">
        <v>-750</v>
      </c>
      <c r="F9" s="4" t="n">
        <v>-864</v>
      </c>
    </row>
    <row r="10">
      <c r="A10" t="n">
        <v>6</v>
      </c>
      <c r="B10" t="inlineStr">
        <is>
          <t>R&amp;D</t>
        </is>
      </c>
      <c r="C10" s="4" t="n">
        <v>-240</v>
      </c>
      <c r="D10" s="4" t="n">
        <v>-324</v>
      </c>
      <c r="E10" s="4" t="n">
        <v>-400</v>
      </c>
      <c r="F10" s="4" t="n">
        <v>-480</v>
      </c>
    </row>
    <row r="11">
      <c r="A11" t="n">
        <v>7</v>
      </c>
      <c r="B11" t="inlineStr">
        <is>
          <t>G&amp;A</t>
        </is>
      </c>
      <c r="C11" s="4" t="n">
        <v>-120</v>
      </c>
      <c r="D11" s="4" t="n">
        <v>-162</v>
      </c>
      <c r="E11" s="4" t="n">
        <v>-200</v>
      </c>
      <c r="F11" s="4" t="n">
        <v>-240</v>
      </c>
    </row>
    <row r="12">
      <c r="A12" t="n">
        <v>8</v>
      </c>
      <c r="B12" s="3" t="inlineStr">
        <is>
          <t>Total OpEx</t>
        </is>
      </c>
      <c r="C12" s="4">
        <f>SUM(C9:C11)</f>
        <v/>
      </c>
      <c r="D12" s="4" t="n">
        <v>-1116</v>
      </c>
      <c r="E12" s="4" t="n">
        <v>-1350</v>
      </c>
      <c r="F12" s="4" t="n">
        <v>-1584</v>
      </c>
    </row>
    <row r="14">
      <c r="A14" t="n">
        <v>9</v>
      </c>
      <c r="B14" s="3" t="inlineStr">
        <is>
          <t>EBITDA</t>
        </is>
      </c>
      <c r="C14" s="4">
        <f>C7+C12</f>
        <v/>
      </c>
      <c r="D14" s="4" t="n">
        <v>180</v>
      </c>
      <c r="E14" s="4" t="n">
        <v>525</v>
      </c>
      <c r="F14" s="4" t="n">
        <v>848</v>
      </c>
    </row>
    <row r="15">
      <c r="A15" t="n">
        <v>10</v>
      </c>
      <c r="B15" t="inlineStr">
        <is>
          <t>D&amp;A</t>
        </is>
      </c>
      <c r="C15" s="4" t="n">
        <v>-60</v>
      </c>
      <c r="D15" s="4" t="n">
        <v>-72</v>
      </c>
      <c r="E15" s="4" t="n">
        <v>-100</v>
      </c>
      <c r="F15" s="4" t="n">
        <v>-128</v>
      </c>
    </row>
    <row r="16">
      <c r="A16" t="n">
        <v>11</v>
      </c>
      <c r="B16" s="3" t="inlineStr">
        <is>
          <t>EBIT</t>
        </is>
      </c>
      <c r="C16" s="4" t="n">
        <v>-60</v>
      </c>
      <c r="D16" s="4" t="n">
        <v>108</v>
      </c>
      <c r="E16" s="4" t="n">
        <v>425</v>
      </c>
      <c r="F16" s="4" t="n">
        <v>720</v>
      </c>
    </row>
    <row r="17">
      <c r="B17" t="inlineStr">
        <is>
          <t>Source: Management projections</t>
        </is>
      </c>
    </row>
  </sheetData>
  <mergeCells count="1"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Profit &amp; Loss Statement</t>
        </is>
      </c>
    </row>
    <row r="2">
      <c r="A2" t="inlineStr"/>
      <c r="B2" s="3" t="inlineStr">
        <is>
          <t>FY2022</t>
        </is>
      </c>
      <c r="C2" s="3" t="inlineStr">
        <is>
          <t>FY2023</t>
        </is>
      </c>
      <c r="D2" s="3" t="inlineStr">
        <is>
          <t>FY2024E</t>
        </is>
      </c>
    </row>
    <row r="3">
      <c r="A3" s="3" t="inlineStr">
        <is>
          <t>Revenue</t>
        </is>
      </c>
      <c r="B3" s="4" t="n">
        <v>5000</v>
      </c>
      <c r="C3" s="4" t="n">
        <v>6200</v>
      </c>
      <c r="D3" s="4" t="n">
        <v>7800</v>
      </c>
    </row>
    <row r="4">
      <c r="A4" t="inlineStr">
        <is>
          <t xml:space="preserve">  Product Revenue</t>
        </is>
      </c>
      <c r="B4" s="4" t="n">
        <v>3500</v>
      </c>
      <c r="C4" s="4" t="n">
        <v>4340</v>
      </c>
      <c r="D4" s="4" t="n">
        <v>5460</v>
      </c>
    </row>
    <row r="5">
      <c r="A5" t="inlineStr">
        <is>
          <t xml:space="preserve">  Service Revenue</t>
        </is>
      </c>
      <c r="B5" s="4" t="n">
        <v>1500</v>
      </c>
      <c r="C5" s="4" t="n">
        <v>1860</v>
      </c>
      <c r="D5" s="4" t="n">
        <v>2340</v>
      </c>
    </row>
    <row r="6">
      <c r="A6" t="inlineStr">
        <is>
          <t>Cost of Revenue</t>
        </is>
      </c>
      <c r="B6" s="4" t="n">
        <v>-2000</v>
      </c>
      <c r="C6" s="4" t="n">
        <v>-2418</v>
      </c>
      <c r="D6" s="4" t="n">
        <v>-2964</v>
      </c>
    </row>
    <row r="7">
      <c r="A7" s="3" t="inlineStr">
        <is>
          <t>Gross Profit</t>
        </is>
      </c>
      <c r="B7" s="4">
        <f>B3+B6</f>
        <v/>
      </c>
      <c r="C7" s="4" t="n">
        <v>3782</v>
      </c>
      <c r="D7" s="4" t="n">
        <v>4836</v>
      </c>
    </row>
    <row r="9">
      <c r="A9" s="3" t="inlineStr">
        <is>
          <t>Operating Expenses</t>
        </is>
      </c>
    </row>
    <row r="10">
      <c r="A10" t="inlineStr">
        <is>
          <t xml:space="preserve">  Sales &amp; Marketing</t>
        </is>
      </c>
      <c r="B10" s="4" t="n">
        <v>-1500</v>
      </c>
      <c r="C10" s="4" t="n">
        <v>-1798</v>
      </c>
      <c r="D10" s="4" t="n">
        <v>-2106</v>
      </c>
    </row>
    <row r="11">
      <c r="A11" t="inlineStr">
        <is>
          <t xml:space="preserve">  Research &amp; Development</t>
        </is>
      </c>
      <c r="B11" s="4" t="n">
        <v>-750</v>
      </c>
      <c r="C11" s="4" t="n">
        <v>-930</v>
      </c>
      <c r="D11" s="4" t="n">
        <v>-1170</v>
      </c>
    </row>
    <row r="12">
      <c r="A12" t="inlineStr">
        <is>
          <t xml:space="preserve">  General &amp; Administrative</t>
        </is>
      </c>
      <c r="B12" s="4" t="n">
        <v>-450</v>
      </c>
      <c r="C12" s="4" t="n">
        <v>-558</v>
      </c>
      <c r="D12" s="4" t="n">
        <v>-702</v>
      </c>
    </row>
    <row r="13">
      <c r="A13" s="3" t="inlineStr">
        <is>
          <t>Total Operating Expenses</t>
        </is>
      </c>
      <c r="B13" s="4">
        <f>SUM(B10:B12)</f>
        <v/>
      </c>
      <c r="C13" s="4" t="n">
        <v>-3286</v>
      </c>
      <c r="D13" s="4" t="n">
        <v>-3978</v>
      </c>
    </row>
    <row r="15">
      <c r="A15" s="3" t="inlineStr">
        <is>
          <t>Operating Income</t>
        </is>
      </c>
      <c r="B15" s="4">
        <f>B7+B13</f>
        <v/>
      </c>
      <c r="C15" s="4" t="n">
        <v>496</v>
      </c>
      <c r="D15" s="4" t="n">
        <v>858</v>
      </c>
    </row>
    <row r="16">
      <c r="A16" t="inlineStr">
        <is>
          <t>Interest Expense</t>
        </is>
      </c>
      <c r="B16" s="4" t="n">
        <v>-50</v>
      </c>
      <c r="C16" s="4" t="n">
        <v>-45</v>
      </c>
      <c r="D16" s="4" t="n">
        <v>-35</v>
      </c>
    </row>
    <row r="17">
      <c r="A17" t="inlineStr">
        <is>
          <t>Other Income</t>
        </is>
      </c>
      <c r="B17" s="4" t="n">
        <v>10</v>
      </c>
      <c r="C17" s="4" t="n">
        <v>15</v>
      </c>
      <c r="D17" s="4" t="n">
        <v>20</v>
      </c>
    </row>
    <row r="18">
      <c r="A18" t="inlineStr">
        <is>
          <t>Income Before Tax</t>
        </is>
      </c>
      <c r="B18" s="4" t="n">
        <v>260</v>
      </c>
      <c r="C18" s="4" t="n">
        <v>466</v>
      </c>
      <c r="D18" s="4" t="n">
        <v>843</v>
      </c>
    </row>
    <row r="19">
      <c r="A19" t="inlineStr">
        <is>
          <t>Income Tax</t>
        </is>
      </c>
      <c r="B19" s="4" t="n">
        <v>-65</v>
      </c>
      <c r="C19" s="4" t="n">
        <v>-117</v>
      </c>
      <c r="D19" s="4" t="n">
        <v>-211</v>
      </c>
    </row>
    <row r="20">
      <c r="A20" s="3" t="inlineStr">
        <is>
          <t>Net Income</t>
        </is>
      </c>
      <c r="B20" s="4">
        <f>B18+B19</f>
        <v/>
      </c>
      <c r="C20" s="4" t="n">
        <v>350</v>
      </c>
      <c r="D20" s="4" t="n">
        <v>632</v>
      </c>
    </row>
    <row r="22">
      <c r="A22" t="inlineStr">
        <is>
          <t>Depreciation &amp; Amortization</t>
        </is>
      </c>
      <c r="B22" s="4" t="n">
        <v>200</v>
      </c>
      <c r="C22" s="4" t="n">
        <v>248</v>
      </c>
      <c r="D22" s="4" t="n">
        <v>312</v>
      </c>
    </row>
    <row r="23">
      <c r="A23" s="3" t="inlineStr">
        <is>
          <t>EBITDA</t>
        </is>
      </c>
      <c r="B23" s="4" t="n">
        <v>500</v>
      </c>
      <c r="C23" s="4" t="n">
        <v>744</v>
      </c>
      <c r="D23" s="4" t="n">
        <v>1170</v>
      </c>
    </row>
    <row r="25">
      <c r="A25" t="inlineStr">
        <is>
          <t>---</t>
        </is>
      </c>
    </row>
    <row r="29">
      <c r="A29" s="6" t="inlineStr">
        <is>
          <t>Balance Sheet</t>
        </is>
      </c>
    </row>
    <row r="30">
      <c r="A30" t="inlineStr"/>
      <c r="B30" s="3" t="inlineStr">
        <is>
          <t>FY2022</t>
        </is>
      </c>
      <c r="C30" s="3" t="inlineStr">
        <is>
          <t>FY2023</t>
        </is>
      </c>
      <c r="D30" s="3" t="inlineStr">
        <is>
          <t>FY2024E</t>
        </is>
      </c>
    </row>
    <row r="31">
      <c r="A31" s="3" t="inlineStr">
        <is>
          <t>Assets</t>
        </is>
      </c>
    </row>
    <row r="32">
      <c r="A32" t="inlineStr">
        <is>
          <t xml:space="preserve">  Cash &amp; Equivalents</t>
        </is>
      </c>
      <c r="B32" s="4" t="n">
        <v>2000</v>
      </c>
      <c r="C32" s="4" t="n">
        <v>2800</v>
      </c>
      <c r="D32" s="4" t="n">
        <v>3500</v>
      </c>
    </row>
    <row r="33">
      <c r="A33" t="inlineStr">
        <is>
          <t xml:space="preserve">  Accounts Receivable</t>
        </is>
      </c>
      <c r="B33" s="4" t="n">
        <v>800</v>
      </c>
      <c r="C33" s="4" t="n">
        <v>992</v>
      </c>
      <c r="D33" s="4" t="n">
        <v>1248</v>
      </c>
    </row>
    <row r="34">
      <c r="A34" t="inlineStr">
        <is>
          <t xml:space="preserve">  Inventory</t>
        </is>
      </c>
      <c r="B34" s="4" t="n">
        <v>200</v>
      </c>
      <c r="C34" s="4" t="n">
        <v>248</v>
      </c>
      <c r="D34" s="4" t="n">
        <v>312</v>
      </c>
    </row>
    <row r="35">
      <c r="A35" t="inlineStr">
        <is>
          <t xml:space="preserve">  Prepaid Expenses</t>
        </is>
      </c>
      <c r="B35" s="4" t="n">
        <v>100</v>
      </c>
      <c r="C35" s="4" t="n">
        <v>124</v>
      </c>
      <c r="D35" s="4" t="n">
        <v>156</v>
      </c>
    </row>
    <row r="36">
      <c r="A36" s="3" t="inlineStr">
        <is>
          <t>Total Current Assets</t>
        </is>
      </c>
      <c r="B36" s="4">
        <f>SUM(B32:B35)</f>
        <v/>
      </c>
      <c r="C36" s="4" t="n">
        <v>4164</v>
      </c>
      <c r="D36" s="4" t="n">
        <v>5216</v>
      </c>
    </row>
    <row r="38">
      <c r="A38" t="inlineStr">
        <is>
          <t xml:space="preserve">  Property &amp; Equipment</t>
        </is>
      </c>
      <c r="B38" s="4" t="n">
        <v>1500</v>
      </c>
      <c r="C38" s="4" t="n">
        <v>1800</v>
      </c>
      <c r="D38" s="4" t="n">
        <v>2200</v>
      </c>
    </row>
    <row r="39">
      <c r="A39" t="inlineStr">
        <is>
          <t xml:space="preserve">  Intangible Assets</t>
        </is>
      </c>
      <c r="B39" s="4" t="n">
        <v>500</v>
      </c>
      <c r="C39" s="4" t="n">
        <v>450</v>
      </c>
      <c r="D39" s="4" t="n">
        <v>400</v>
      </c>
    </row>
    <row r="40">
      <c r="A40" t="inlineStr">
        <is>
          <t xml:space="preserve">  Goodwill</t>
        </is>
      </c>
      <c r="B40" s="4" t="n">
        <v>1000</v>
      </c>
      <c r="C40" s="4" t="n">
        <v>1000</v>
      </c>
      <c r="D40" s="4" t="n">
        <v>1000</v>
      </c>
    </row>
    <row r="41">
      <c r="A41" s="3" t="inlineStr">
        <is>
          <t>Total Non-Current Assets</t>
        </is>
      </c>
      <c r="B41" s="4" t="n">
        <v>3000</v>
      </c>
      <c r="C41" s="4" t="n">
        <v>3250</v>
      </c>
      <c r="D41" s="4" t="n">
        <v>3600</v>
      </c>
    </row>
    <row r="42">
      <c r="A42" s="3" t="inlineStr">
        <is>
          <t>Total Assets</t>
        </is>
      </c>
      <c r="B42" s="4">
        <f>B36+B41</f>
        <v/>
      </c>
      <c r="C42" s="4" t="n">
        <v>7414</v>
      </c>
      <c r="D42" s="4" t="n">
        <v>8816</v>
      </c>
    </row>
    <row r="44">
      <c r="A44" s="3" t="inlineStr">
        <is>
          <t>Liabilities</t>
        </is>
      </c>
    </row>
    <row r="45">
      <c r="A45" t="inlineStr">
        <is>
          <t xml:space="preserve">  Accounts Payable</t>
        </is>
      </c>
      <c r="B45" s="4" t="n">
        <v>400</v>
      </c>
      <c r="C45" s="4" t="n">
        <v>484</v>
      </c>
      <c r="D45" s="4" t="n">
        <v>593</v>
      </c>
    </row>
    <row r="46">
      <c r="A46" t="inlineStr">
        <is>
          <t xml:space="preserve">  Accrued Expenses</t>
        </is>
      </c>
      <c r="B46" s="4" t="n">
        <v>300</v>
      </c>
      <c r="C46" s="4" t="n">
        <v>372</v>
      </c>
      <c r="D46" s="4" t="n">
        <v>468</v>
      </c>
    </row>
    <row r="47">
      <c r="A47" s="3" t="inlineStr">
        <is>
          <t>Total Current Liabilities</t>
        </is>
      </c>
      <c r="B47" s="4" t="n">
        <v>700</v>
      </c>
      <c r="C47" s="4" t="n">
        <v>856</v>
      </c>
      <c r="D47" s="4" t="n">
        <v>1061</v>
      </c>
    </row>
    <row r="48">
      <c r="A48" t="inlineStr">
        <is>
          <t xml:space="preserve">  Long-term Debt</t>
        </is>
      </c>
      <c r="B48" s="4" t="n">
        <v>1000</v>
      </c>
      <c r="C48" s="4" t="n">
        <v>800</v>
      </c>
      <c r="D48" s="4" t="n">
        <v>600</v>
      </c>
    </row>
    <row r="49">
      <c r="A49" s="3" t="inlineStr">
        <is>
          <t>Total Liabilities</t>
        </is>
      </c>
      <c r="B49" s="4" t="n">
        <v>1700</v>
      </c>
      <c r="C49" s="4" t="n">
        <v>1656</v>
      </c>
      <c r="D49" s="4" t="n">
        <v>1661</v>
      </c>
    </row>
    <row r="50">
      <c r="A50" s="3" t="inlineStr">
        <is>
          <t>Total Equity</t>
        </is>
      </c>
      <c r="B50" s="4" t="n">
        <v>4400</v>
      </c>
      <c r="C50" s="4" t="n">
        <v>5758</v>
      </c>
      <c r="D50" s="4" t="n">
        <v>7155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Key SaaS Metrics</t>
        </is>
      </c>
      <c r="B1" t="inlineStr">
        <is>
          <t>FY2022</t>
        </is>
      </c>
      <c r="C1" t="inlineStr">
        <is>
          <t>FY2023</t>
        </is>
      </c>
      <c r="D1" t="inlineStr">
        <is>
          <t>FY2024E</t>
        </is>
      </c>
    </row>
    <row r="2">
      <c r="A2" t="inlineStr">
        <is>
          <t>ARR ($000)</t>
        </is>
      </c>
      <c r="B2" s="4" t="n">
        <v>1200</v>
      </c>
      <c r="C2" s="4" t="n">
        <v>1800</v>
      </c>
      <c r="D2" s="4" t="n">
        <v>2500</v>
      </c>
    </row>
    <row r="3">
      <c r="A3" t="inlineStr">
        <is>
          <t>MRR ($000)</t>
        </is>
      </c>
      <c r="B3" s="4" t="n">
        <v>100</v>
      </c>
      <c r="C3" s="4" t="n">
        <v>150</v>
      </c>
      <c r="D3" s="4" t="n">
        <v>208</v>
      </c>
    </row>
    <row r="4">
      <c r="A4" t="inlineStr">
        <is>
          <t>Net Revenue Retention</t>
        </is>
      </c>
      <c r="B4" s="5" t="n">
        <v>1.15</v>
      </c>
      <c r="C4" s="5" t="n">
        <v>1.18</v>
      </c>
      <c r="D4" s="5" t="n">
        <v>1.2</v>
      </c>
    </row>
    <row r="5">
      <c r="A5" t="inlineStr">
        <is>
          <t>Gross Margin</t>
        </is>
      </c>
      <c r="B5" s="5" t="n">
        <v>0.7</v>
      </c>
      <c r="C5" s="5" t="n">
        <v>0.72</v>
      </c>
      <c r="D5" s="5" t="n">
        <v>0.75</v>
      </c>
    </row>
    <row r="6">
      <c r="A6" t="inlineStr">
        <is>
          <t>CAC Payback (months)</t>
        </is>
      </c>
      <c r="B6" s="4" t="n">
        <v>18</v>
      </c>
      <c r="C6" s="4" t="n">
        <v>15</v>
      </c>
      <c r="D6" s="4" t="n">
        <v>12</v>
      </c>
    </row>
    <row r="7">
      <c r="A7" t="inlineStr">
        <is>
          <t>LTV/CAC</t>
        </is>
      </c>
      <c r="B7" s="7" t="n">
        <v>3.2</v>
      </c>
      <c r="C7" s="7" t="n">
        <v>4.1</v>
      </c>
      <c r="D7" s="7" t="n">
        <v>5</v>
      </c>
    </row>
    <row r="9">
      <c r="A9" t="inlineStr">
        <is>
          <t>Note: ARR based on annualised December MRR</t>
        </is>
      </c>
    </row>
    <row r="10">
      <c r="A10" t="inlineStr">
        <is>
          <t>Note: NRR excludes churned customers from base</t>
        </is>
      </c>
    </row>
    <row r="11">
      <c r="A11">
        <f>==</f>
        <v/>
      </c>
    </row>
    <row r="12">
      <c r="A12" t="inlineStr">
        <is>
          <t>Prepared by: Finance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Assumptions and Notes</t>
        </is>
      </c>
    </row>
    <row r="2">
      <c r="A2" t="inlineStr"/>
    </row>
    <row r="3">
      <c r="A3" t="inlineStr">
        <is>
          <t>1. Revenue growth based on pipeline analysis and Q3 run rate</t>
        </is>
      </c>
    </row>
    <row r="4">
      <c r="A4" t="inlineStr">
        <is>
          <t>2. COGS assumes 30% margin on product, 20% margin on services</t>
        </is>
      </c>
    </row>
    <row r="5">
      <c r="A5" t="inlineStr">
        <is>
          <t>3. OpEx scaling assumes hiring plan attached in HR tab</t>
        </is>
      </c>
    </row>
    <row r="6">
      <c r="A6" t="inlineStr">
        <is>
          <t>4. Tax rate: 25% effective, no NOL carryforwards</t>
        </is>
      </c>
    </row>
    <row r="7">
      <c r="A7" t="inlineStr">
        <is>
          <t>5. Capex: $200K base + $50K per 100 new customers</t>
        </is>
      </c>
    </row>
    <row r="8">
      <c r="A8" t="inlineStr"/>
    </row>
    <row r="9">
      <c r="A9" t="inlineStr">
        <is>
          <t>Revision History:</t>
        </is>
      </c>
    </row>
    <row r="10">
      <c r="A10" t="inlineStr">
        <is>
          <t>v1.0 - Initial draft (Jan 2024)</t>
        </is>
      </c>
    </row>
    <row r="11">
      <c r="A11" t="inlineStr">
        <is>
          <t>v1.1 - Updated revenue assumptions (Feb 2024)</t>
        </is>
      </c>
    </row>
    <row r="12">
      <c r="A12" t="inlineStr">
        <is>
          <t>v2.0 - Board presentation version (Mar 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2026-03-11T09:26:25Z</dcterms:created>
  <dcterms:modified xsi:type="dcterms:W3CDTF">2026-03-11T09:26:25Z</dcterms:modified>
</cp:coreProperties>
</file>